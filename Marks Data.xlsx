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"/>
    </mc:Choice>
  </mc:AlternateContent>
  <xr:revisionPtr revIDLastSave="0" documentId="13_ncr:1_{EA3C5605-108E-4703-B09B-F739A71D48F7}" xr6:coauthVersionLast="47" xr6:coauthVersionMax="47" xr10:uidLastSave="{00000000-0000-0000-0000-000000000000}"/>
  <bookViews>
    <workbookView xWindow="-108" yWindow="-108" windowWidth="23256" windowHeight="12456" xr2:uid="{A4A47514-907C-4CF9-BC91-E763F6ADF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P4" i="1"/>
  <c r="P3" i="1"/>
  <c r="P5" i="1"/>
  <c r="P2" i="1"/>
  <c r="O3" i="1"/>
  <c r="O4" i="1"/>
  <c r="O2" i="1"/>
  <c r="L3" i="1"/>
  <c r="G3" i="1"/>
  <c r="G4" i="1"/>
  <c r="G5" i="1"/>
  <c r="G6" i="1"/>
  <c r="G7" i="1"/>
  <c r="G2" i="1"/>
  <c r="L2" i="1"/>
  <c r="H3" i="1"/>
  <c r="H4" i="1"/>
  <c r="H5" i="1"/>
  <c r="H6" i="1"/>
  <c r="H7" i="1"/>
  <c r="I3" i="1"/>
  <c r="I4" i="1"/>
  <c r="I5" i="1"/>
  <c r="I6" i="1"/>
  <c r="I7" i="1"/>
  <c r="I2" i="1"/>
  <c r="H2" i="1"/>
</calcChain>
</file>

<file path=xl/sharedStrings.xml><?xml version="1.0" encoding="utf-8"?>
<sst xmlns="http://schemas.openxmlformats.org/spreadsheetml/2006/main" count="27" uniqueCount="24">
  <si>
    <t xml:space="preserve">name </t>
  </si>
  <si>
    <t>dc</t>
  </si>
  <si>
    <t>bda</t>
  </si>
  <si>
    <t>ns</t>
  </si>
  <si>
    <t>cc</t>
  </si>
  <si>
    <t>total</t>
  </si>
  <si>
    <t>DANWINSER P</t>
  </si>
  <si>
    <t>BALA</t>
  </si>
  <si>
    <t>ANURUTHA S</t>
  </si>
  <si>
    <t>ABINAYA S</t>
  </si>
  <si>
    <t>ANANDA RAJ P</t>
  </si>
  <si>
    <t>ANTO JOSEPH B</t>
  </si>
  <si>
    <t>Total</t>
  </si>
  <si>
    <t>Pass</t>
  </si>
  <si>
    <t>Result</t>
  </si>
  <si>
    <t xml:space="preserve">Rank </t>
  </si>
  <si>
    <t>Percentage</t>
  </si>
  <si>
    <t>Fail</t>
  </si>
  <si>
    <t>Count</t>
  </si>
  <si>
    <t>Subject</t>
  </si>
  <si>
    <t>DC</t>
  </si>
  <si>
    <t>BDA</t>
  </si>
  <si>
    <t>NS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</si>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</sst>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0"/>
      <name val="Algerian"/>
      <family val="5"/>
    </font>
    <font>
      <sz val="14"/>
      <color theme="1"/>
      <name val="Bell MT"/>
      <family val="1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BE2D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9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lgerian"/>
        <family val="5"/>
        <scheme val="none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ell MT"/>
        <family val="1"/>
        <scheme val="none"/>
      </font>
      <fill>
        <patternFill patternType="solid">
          <fgColor indexed="64"/>
          <bgColor rgb="FFFBE2D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EEDC17-7786-43FA-8B02-210F97BE1F77}" name="Table1" displayName="Table1" ref="K1:L3" totalsRowShown="0" headerRowDxfId="17" dataDxfId="16">
  <autoFilter ref="K1:L3" xr:uid="{90EEDC17-7786-43FA-8B02-210F97BE1F77}"/>
  <tableColumns count="2">
    <tableColumn id="1" xr3:uid="{AC86657A-4DB3-418C-A956-2FA3634696C9}" name="Result" dataDxfId="15"/>
    <tableColumn id="2" xr3:uid="{7F6B229C-2EEB-409D-89F0-B193B465C15F}" name="Count" dataDxfId="14">
      <calculatedColumnFormula>COUNTIF(G2:G7,"Pass")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9E454D-E60E-4A0F-9BBD-768ADD12D914}" name="Table2" displayName="Table2" ref="A1:I7" totalsRowShown="0" headerRowDxfId="22" dataDxfId="23">
  <autoFilter ref="A1:I7" xr:uid="{169E454D-E60E-4A0F-9BBD-768ADD12D914}"/>
  <tableColumns count="9">
    <tableColumn id="1" xr3:uid="{F3E8519A-F7AA-4CF7-9DBD-49E4B464D589}" name="name " dataDxfId="28"/>
    <tableColumn id="2" xr3:uid="{16AB9DCC-9A64-4408-BAF4-8D781AA324CB}" name="dc" dataDxfId="27"/>
    <tableColumn id="3" xr3:uid="{D626195F-ADA2-485D-8124-B734D2768AE4}" name="bda" dataDxfId="26"/>
    <tableColumn id="4" xr3:uid="{D6250E23-E943-4AB2-9378-9591A6014935}" name="ns" dataDxfId="25"/>
    <tableColumn id="5" xr3:uid="{7A0B1AF7-9C09-4D5D-BA33-575409A1C7D1}" name="cc" dataDxfId="24"/>
    <tableColumn id="6" xr3:uid="{561E4EA5-E1FA-4B93-91A5-A8B8E2C0AAD2}" name="total" dataDxfId="21"/>
    <tableColumn id="7" xr3:uid="{034770F1-2012-47C6-8DD6-6F135063F8EF}" name="Result" dataDxfId="20">
      <calculatedColumnFormula>IF(F2&gt;=140,"Pass","Fail")</calculatedColumnFormula>
    </tableColumn>
    <tableColumn id="8" xr3:uid="{9EAC49BA-28A4-4421-AC78-B89DB8D40B05}" name="Rank " dataDxfId="19">
      <calculatedColumnFormula>RANK(F2,$F$2:$F$7,0)</calculatedColumnFormula>
    </tableColumn>
    <tableColumn id="9" xr3:uid="{388540F8-E9F5-40BE-9203-973611032E45}" name="Percentage" dataDxfId="18" dataCellStyle="Percent">
      <calculatedColumnFormula>F2/400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A55146-9EE6-44DB-AB5E-A34FC21C8E36}" name="Table4" displayName="Table4" ref="N1:P5" totalsRowShown="0" headerRowDxfId="0" dataDxfId="1" headerRowBorderDxfId="6" tableBorderDxfId="7" totalsRowBorderDxfId="5">
  <autoFilter ref="N1:P5" xr:uid="{B2A55146-9EE6-44DB-AB5E-A34FC21C8E36}"/>
  <tableColumns count="3">
    <tableColumn id="1" xr3:uid="{4FCE1EF8-D991-4F81-920F-EFC8B59ABDD9}" name="Subject" dataDxfId="4"/>
    <tableColumn id="2" xr3:uid="{A98B26B2-EED1-4F14-B4E1-F6AA69A5D4BB}" name="Pass" dataDxfId="3"/>
    <tableColumn id="3" xr3:uid="{59FA0E82-554A-4D4D-9748-09010BBD0FC6}" name="Fail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15C3-C106-4BA9-BFCE-C7C880B06D7F}">
  <dimension ref="A1:P8"/>
  <sheetViews>
    <sheetView tabSelected="1" workbookViewId="0">
      <selection activeCell="N7" sqref="N7"/>
    </sheetView>
  </sheetViews>
  <sheetFormatPr defaultRowHeight="14.4" x14ac:dyDescent="0.3"/>
  <cols>
    <col min="1" max="1" width="20.88671875" style="1" bestFit="1" customWidth="1"/>
    <col min="2" max="2" width="7" style="1" customWidth="1"/>
    <col min="3" max="3" width="9.88671875" style="1" customWidth="1"/>
    <col min="4" max="4" width="7" style="1" customWidth="1"/>
    <col min="5" max="5" width="6.88671875" style="1" customWidth="1"/>
    <col min="6" max="6" width="13.6640625" style="1" customWidth="1"/>
    <col min="7" max="7" width="15.33203125" style="1" customWidth="1"/>
    <col min="8" max="8" width="13.21875" style="1" customWidth="1"/>
    <col min="9" max="9" width="25" style="1" customWidth="1"/>
    <col min="10" max="10" width="8.88671875" style="1"/>
    <col min="11" max="11" width="11.33203125" style="1" bestFit="1" customWidth="1"/>
    <col min="12" max="12" width="11" style="1" bestFit="1" customWidth="1"/>
    <col min="13" max="13" width="8.88671875" style="1"/>
    <col min="14" max="14" width="15.21875" style="1" bestFit="1" customWidth="1"/>
    <col min="15" max="16384" width="8.88671875" style="1"/>
  </cols>
  <sheetData>
    <row r="1" spans="1:16" ht="25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15</v>
      </c>
      <c r="I1" s="2" t="s">
        <v>16</v>
      </c>
      <c r="K1" s="6" t="s">
        <v>14</v>
      </c>
      <c r="L1" s="6" t="s">
        <v>18</v>
      </c>
      <c r="N1" s="14" t="s">
        <v>19</v>
      </c>
      <c r="O1" s="15" t="s">
        <v>13</v>
      </c>
      <c r="P1" s="16" t="s">
        <v>17</v>
      </c>
    </row>
    <row r="2" spans="1:16" ht="18" x14ac:dyDescent="0.3">
      <c r="A2" s="3" t="s">
        <v>6</v>
      </c>
      <c r="B2" s="4">
        <v>45</v>
      </c>
      <c r="C2" s="4">
        <v>15</v>
      </c>
      <c r="D2" s="4">
        <v>44</v>
      </c>
      <c r="E2" s="4">
        <v>45</v>
      </c>
      <c r="F2" s="5">
        <v>149</v>
      </c>
      <c r="G2" s="4" t="str">
        <f>IF(F2&gt;=140,"Pass","Fail")</f>
        <v>Pass</v>
      </c>
      <c r="H2" s="4">
        <f>RANK(F2,$F$2:$F$7,0)</f>
        <v>1</v>
      </c>
      <c r="I2" s="7">
        <f>F2/400</f>
        <v>0.3725</v>
      </c>
      <c r="K2" s="5" t="s">
        <v>13</v>
      </c>
      <c r="L2" s="5">
        <f>COUNTIF(G2:G7,"Pass")</f>
        <v>1</v>
      </c>
      <c r="N2" s="8" t="s">
        <v>20</v>
      </c>
      <c r="O2" s="9">
        <f>COUNTIF(B2:B7,"&gt;=35")</f>
        <v>2</v>
      </c>
      <c r="P2" s="10">
        <f>COUNTIF(B2:B7,"&lt;35")</f>
        <v>4</v>
      </c>
    </row>
    <row r="3" spans="1:16" ht="18" x14ac:dyDescent="0.3">
      <c r="A3" s="3" t="s">
        <v>7</v>
      </c>
      <c r="B3" s="4">
        <v>43</v>
      </c>
      <c r="C3" s="4">
        <v>15</v>
      </c>
      <c r="D3" s="4">
        <v>22</v>
      </c>
      <c r="E3" s="4">
        <v>43</v>
      </c>
      <c r="F3" s="5">
        <v>123</v>
      </c>
      <c r="G3" s="4" t="str">
        <f t="shared" ref="G3:G7" si="0">IF(F3&gt;=140,"Pass","Fail")</f>
        <v>Fail</v>
      </c>
      <c r="H3" s="4">
        <f t="shared" ref="H3:H7" si="1">RANK(F3,$F$2:$F$7,0)</f>
        <v>2</v>
      </c>
      <c r="I3" s="7">
        <f t="shared" ref="I3:I7" si="2">F3/400</f>
        <v>0.3075</v>
      </c>
      <c r="K3" s="5" t="s">
        <v>17</v>
      </c>
      <c r="L3" s="5">
        <f>COUNTIF(G3:G8,"Pass")</f>
        <v>0</v>
      </c>
      <c r="N3" s="8" t="s">
        <v>21</v>
      </c>
      <c r="O3" s="9">
        <f>COUNTIF(C2:C7,"&gt;=35")</f>
        <v>0</v>
      </c>
      <c r="P3" s="10">
        <f>COUNTIF(C2:C7,"&lt;35")</f>
        <v>6</v>
      </c>
    </row>
    <row r="4" spans="1:16" ht="18" x14ac:dyDescent="0.3">
      <c r="A4" s="3" t="s">
        <v>8</v>
      </c>
      <c r="B4" s="4">
        <v>33</v>
      </c>
      <c r="C4" s="4">
        <v>14</v>
      </c>
      <c r="D4" s="4">
        <v>32</v>
      </c>
      <c r="E4" s="4">
        <v>33</v>
      </c>
      <c r="F4" s="5">
        <v>112</v>
      </c>
      <c r="G4" s="4" t="str">
        <f t="shared" si="0"/>
        <v>Fail</v>
      </c>
      <c r="H4" s="4">
        <f t="shared" si="1"/>
        <v>3</v>
      </c>
      <c r="I4" s="7">
        <f t="shared" si="2"/>
        <v>0.28000000000000003</v>
      </c>
      <c r="N4" s="8" t="s">
        <v>22</v>
      </c>
      <c r="O4" s="9">
        <f>COUNTIF(D2:D7,"&gt;=35")</f>
        <v>1</v>
      </c>
      <c r="P4" s="10">
        <f>COUNTIF(E2:E7,"&lt;35")</f>
        <v>4</v>
      </c>
    </row>
    <row r="5" spans="1:16" ht="18" x14ac:dyDescent="0.3">
      <c r="A5" s="3" t="s">
        <v>9</v>
      </c>
      <c r="B5" s="4">
        <v>34</v>
      </c>
      <c r="C5" s="4">
        <v>21</v>
      </c>
      <c r="D5" s="4">
        <v>21</v>
      </c>
      <c r="E5" s="4">
        <v>34</v>
      </c>
      <c r="F5" s="5">
        <v>110</v>
      </c>
      <c r="G5" s="4" t="str">
        <f t="shared" si="0"/>
        <v>Fail</v>
      </c>
      <c r="H5" s="4">
        <f t="shared" si="1"/>
        <v>4</v>
      </c>
      <c r="I5" s="7">
        <f t="shared" si="2"/>
        <v>0.27500000000000002</v>
      </c>
      <c r="N5" s="11" t="s">
        <v>23</v>
      </c>
      <c r="O5" s="12">
        <f>COUNTIF(E2:E7,"&gt;=35")</f>
        <v>2</v>
      </c>
      <c r="P5" s="13">
        <f>COUNTIF(E2:E7,"&lt;35")</f>
        <v>4</v>
      </c>
    </row>
    <row r="6" spans="1:16" ht="18" x14ac:dyDescent="0.3">
      <c r="A6" s="3" t="s">
        <v>10</v>
      </c>
      <c r="B6" s="4">
        <v>30</v>
      </c>
      <c r="C6" s="4">
        <v>13</v>
      </c>
      <c r="D6" s="4">
        <v>23</v>
      </c>
      <c r="E6" s="4">
        <v>30</v>
      </c>
      <c r="F6" s="5">
        <v>96</v>
      </c>
      <c r="G6" s="4" t="str">
        <f t="shared" si="0"/>
        <v>Fail</v>
      </c>
      <c r="H6" s="4">
        <f t="shared" si="1"/>
        <v>5</v>
      </c>
      <c r="I6" s="7">
        <f t="shared" si="2"/>
        <v>0.24</v>
      </c>
    </row>
    <row r="7" spans="1:16" ht="18" x14ac:dyDescent="0.3">
      <c r="A7" s="3" t="s">
        <v>11</v>
      </c>
      <c r="B7" s="4">
        <v>21</v>
      </c>
      <c r="C7" s="4">
        <v>13</v>
      </c>
      <c r="D7" s="4">
        <v>12</v>
      </c>
      <c r="E7" s="4">
        <v>21</v>
      </c>
      <c r="F7" s="5">
        <v>67</v>
      </c>
      <c r="G7" s="4" t="str">
        <f t="shared" si="0"/>
        <v>Fail</v>
      </c>
      <c r="H7" s="4">
        <f t="shared" si="1"/>
        <v>6</v>
      </c>
      <c r="I7" s="7">
        <f t="shared" si="2"/>
        <v>0.16750000000000001</v>
      </c>
    </row>
    <row r="8" spans="1:16" x14ac:dyDescent="0.3">
      <c r="A8" s="1" t="s">
        <v>12</v>
      </c>
    </row>
  </sheetData>
  <conditionalFormatting sqref="A2:F7">
    <cfRule type="cellIs" dxfId="12" priority="3" operator="lessThan">
      <formula>25</formula>
    </cfRule>
  </conditionalFormatting>
  <conditionalFormatting sqref="B2">
    <cfRule type="cellIs" dxfId="11" priority="2" operator="greaterThan">
      <formula>35</formula>
    </cfRule>
  </conditionalFormatting>
  <conditionalFormatting sqref="B2:E7">
    <cfRule type="cellIs" dxfId="8" priority="1" operator="greaterThan">
      <formula>35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kira</dc:creator>
  <cp:lastModifiedBy>jeff kira</cp:lastModifiedBy>
  <dcterms:created xsi:type="dcterms:W3CDTF">2026-03-20T15:14:57Z</dcterms:created>
  <dcterms:modified xsi:type="dcterms:W3CDTF">2026-03-20T15:58:47Z</dcterms:modified>
</cp:coreProperties>
</file>